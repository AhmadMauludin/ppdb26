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DB2026\"/>
    </mc:Choice>
  </mc:AlternateContent>
  <xr:revisionPtr revIDLastSave="0" documentId="13_ncr:1_{A67C287F-F61F-4676-A5A6-19ECDF6F46C3}" xr6:coauthVersionLast="47" xr6:coauthVersionMax="47" xr10:uidLastSave="{00000000-0000-0000-0000-000000000000}"/>
  <bookViews>
    <workbookView xWindow="-110" yWindow="-110" windowWidth="19420" windowHeight="10300" xr2:uid="{04C7C6C9-842F-4F34-8DD5-A90496CB0E3C}"/>
  </bookViews>
  <sheets>
    <sheet name="Sheet1" sheetId="1" r:id="rId1"/>
  </sheets>
  <definedNames>
    <definedName name="_xlnm.Print_Area" localSheetId="0">Sheet1!$A$1:$Q$31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L17" i="1"/>
  <c r="H17" i="1"/>
  <c r="D29" i="1" s="1"/>
  <c r="D17" i="1"/>
  <c r="D22" i="1" s="1"/>
  <c r="H27" i="1"/>
  <c r="D27" i="1"/>
  <c r="H21" i="1"/>
  <c r="D21" i="1"/>
  <c r="H28" i="1"/>
  <c r="H30" i="1" s="1"/>
  <c r="H22" i="1" l="1"/>
  <c r="D23" i="1"/>
  <c r="D24" i="1" s="1"/>
  <c r="H23" i="1"/>
  <c r="D30" i="1"/>
  <c r="H24" i="1" l="1"/>
</calcChain>
</file>

<file path=xl/sharedStrings.xml><?xml version="1.0" encoding="utf-8"?>
<sst xmlns="http://schemas.openxmlformats.org/spreadsheetml/2006/main" count="95" uniqueCount="76">
  <si>
    <t>A</t>
  </si>
  <si>
    <t>Biaya Registrasi</t>
  </si>
  <si>
    <t>SMK + Pondok &amp; Non Mondok</t>
  </si>
  <si>
    <t>SMP + Pondok</t>
  </si>
  <si>
    <t>SMP Non Mondok</t>
  </si>
  <si>
    <t>No</t>
  </si>
  <si>
    <t>Uraian</t>
  </si>
  <si>
    <t>Harga</t>
  </si>
  <si>
    <t xml:space="preserve">Seragam Pramuka </t>
  </si>
  <si>
    <t>B</t>
  </si>
  <si>
    <t>Biaya Awal Masuk</t>
  </si>
  <si>
    <t xml:space="preserve">Lemari Napolly 144 </t>
  </si>
  <si>
    <t>Pondok Pesantren</t>
  </si>
  <si>
    <t>SMK</t>
  </si>
  <si>
    <t>SMP</t>
  </si>
  <si>
    <t xml:space="preserve">Lemari Napolly 244 </t>
  </si>
  <si>
    <t>Kartu Tanda Santri</t>
  </si>
  <si>
    <t>OSIS</t>
  </si>
  <si>
    <t xml:space="preserve">Kasur 70 x 180 </t>
  </si>
  <si>
    <t>Raport</t>
  </si>
  <si>
    <t>Atribut Sekolah</t>
  </si>
  <si>
    <t xml:space="preserve">Kasur 90 x 180 </t>
  </si>
  <si>
    <t>Ianah (1 Bulan)</t>
  </si>
  <si>
    <t>Seragam Olahraga</t>
  </si>
  <si>
    <t xml:space="preserve">Bantal </t>
  </si>
  <si>
    <t>Uang Makan (1 Bulan)</t>
  </si>
  <si>
    <t>Seragam Praktikum</t>
  </si>
  <si>
    <t>Seragam Khas</t>
  </si>
  <si>
    <t xml:space="preserve">Guling </t>
  </si>
  <si>
    <t>Infak Asrama (1 Tahun)</t>
  </si>
  <si>
    <t>Seragam Batik</t>
  </si>
  <si>
    <t>Batik Kasumedangan</t>
  </si>
  <si>
    <t xml:space="preserve">Seragam Atasan Putih </t>
  </si>
  <si>
    <t>Buku Pegangan Santri</t>
  </si>
  <si>
    <t>Infaq Sehat (1 Tahun)</t>
  </si>
  <si>
    <t>Seragam Hari Jumat</t>
  </si>
  <si>
    <t xml:space="preserve">Seragam Celana Putih </t>
  </si>
  <si>
    <t>Jas Almamater</t>
  </si>
  <si>
    <t>Map Foil, Foto, Kartu Pelajar</t>
  </si>
  <si>
    <t xml:space="preserve">Seragam Celana Biru </t>
  </si>
  <si>
    <t>Kitab Kajian</t>
  </si>
  <si>
    <t xml:space="preserve">Seragam Celana Abu - abu </t>
  </si>
  <si>
    <t>Jumlah</t>
  </si>
  <si>
    <t xml:space="preserve">Seragam Rok Putih Biasa </t>
  </si>
  <si>
    <t xml:space="preserve">Seragam Rok Biru Biasa </t>
  </si>
  <si>
    <t>Total Biaya (A. Registrasi + B. Awal Masuk)</t>
  </si>
  <si>
    <t xml:space="preserve">Seragam Rok Abu Biasa </t>
  </si>
  <si>
    <t>SMK + Pondok</t>
  </si>
  <si>
    <t xml:space="preserve">Seragam Rok Hitam Biasa </t>
  </si>
  <si>
    <t xml:space="preserve">Seragam Rok Putih Bahping </t>
  </si>
  <si>
    <t>Biaya Awal Masuk Pondok</t>
  </si>
  <si>
    <t xml:space="preserve">Seragam Rok Biru Bahping </t>
  </si>
  <si>
    <t>Biaya Awal Masuk SMK</t>
  </si>
  <si>
    <t>Biaya Awal Masuk SMP</t>
  </si>
  <si>
    <t xml:space="preserve">Seragam Rok Abu - abu Bahping </t>
  </si>
  <si>
    <t>Total</t>
  </si>
  <si>
    <t>Keterangan:</t>
  </si>
  <si>
    <t xml:space="preserve">Seragam Rok Hitam Bahping </t>
  </si>
  <si>
    <t>* Wajib dibayarkan saat melakukan registrasi</t>
  </si>
  <si>
    <t xml:space="preserve">Seragam Rok Putih Rempel Penuh </t>
  </si>
  <si>
    <t>SMK + Non Mondok</t>
  </si>
  <si>
    <t>** Setelah dikurangi uang makan 360.000</t>
  </si>
  <si>
    <t xml:space="preserve">Seragam Rok Biru Rempel Penuh </t>
  </si>
  <si>
    <t xml:space="preserve">Seragam Rok Abu  Rempel Penuh </t>
  </si>
  <si>
    <t>Biaya Awal Masuk Pondok**</t>
  </si>
  <si>
    <t>Rekening untuk pembayaran PPDB via transfer:</t>
  </si>
  <si>
    <t xml:space="preserve">Seragam Rok Hitam Rempel Penuh </t>
  </si>
  <si>
    <t>RINCIAN BIAYA AWAL MASUK YAYASAN AL-MA'MUN | Tahun Ajaran 2026 - 2027</t>
  </si>
  <si>
    <t>Biaya bulanan pesantren : Rp. 500.000</t>
  </si>
  <si>
    <t>untuk uang makan : Rp. 360.000 / Bulan (2 kali makan / hari) &amp; I'anah (listrik, air dll) : Rp. 140.000 / bulan</t>
  </si>
  <si>
    <t>Peralatan Makan</t>
  </si>
  <si>
    <t>Jas Prakerin</t>
  </si>
  <si>
    <t>Konfirmasi Pembayaran ke 0853-5132-7757</t>
  </si>
  <si>
    <r>
      <t xml:space="preserve">4440-01-036595-53-4 </t>
    </r>
    <r>
      <rPr>
        <sz val="10"/>
        <color theme="1"/>
        <rFont val="Swis721 BT"/>
        <family val="2"/>
      </rPr>
      <t xml:space="preserve">Bank BRI a.n RIKA </t>
    </r>
  </si>
  <si>
    <t>Harga barang opsional lainnya dapat ditanyakan ke bagian koperasi, dapat menghubungi Mira Anggraeni 0853-2005-7091</t>
  </si>
  <si>
    <t>Pembelian Tambahan (Opsional)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</si>
</sst>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_-"/>
    <numFmt numFmtId="165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Swis721 BT"/>
      <family val="2"/>
    </font>
    <font>
      <sz val="10"/>
      <color theme="1"/>
      <name val="Swis721 BT"/>
      <family val="2"/>
    </font>
    <font>
      <sz val="11"/>
      <color theme="1"/>
      <name val="Calibri"/>
      <family val="2"/>
      <scheme val="minor"/>
    </font>
    <font>
      <sz val="10"/>
      <color theme="1"/>
      <name val="Swis721 BT"/>
      <family val="2"/>
    </font>
    <font>
      <b/>
      <sz val="11"/>
      <color theme="1"/>
      <name val="Swis721 BT"/>
      <family val="2"/>
    </font>
    <font>
      <b/>
      <sz val="10"/>
      <color theme="1"/>
      <name val="Swis721 BT"/>
      <family val="2"/>
    </font>
    <font>
      <sz val="9"/>
      <color theme="1"/>
      <name val="Swis721 B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1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165" fontId="6" fillId="2" borderId="5" xfId="1" applyNumberFormat="1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165" fontId="4" fillId="2" borderId="0" xfId="1" applyNumberFormat="1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3" fontId="4" fillId="2" borderId="5" xfId="0" applyNumberFormat="1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165" fontId="4" fillId="6" borderId="5" xfId="0" applyNumberFormat="1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center"/>
    </xf>
    <xf numFmtId="165" fontId="4" fillId="7" borderId="5" xfId="0" applyNumberFormat="1" applyFont="1" applyFill="1" applyBorder="1" applyAlignment="1">
      <alignment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vertical="center"/>
    </xf>
    <xf numFmtId="165" fontId="4" fillId="8" borderId="5" xfId="0" applyNumberFormat="1" applyFont="1" applyFill="1" applyBorder="1" applyAlignment="1">
      <alignment vertical="center"/>
    </xf>
    <xf numFmtId="165" fontId="6" fillId="6" borderId="5" xfId="0" applyNumberFormat="1" applyFont="1" applyFill="1" applyBorder="1" applyAlignment="1">
      <alignment vertical="center"/>
    </xf>
    <xf numFmtId="165" fontId="6" fillId="7" borderId="5" xfId="0" applyNumberFormat="1" applyFont="1" applyFill="1" applyBorder="1" applyAlignment="1">
      <alignment vertical="center"/>
    </xf>
    <xf numFmtId="165" fontId="6" fillId="8" borderId="5" xfId="0" applyNumberFormat="1" applyFont="1" applyFill="1" applyBorder="1" applyAlignment="1">
      <alignment vertical="center"/>
    </xf>
    <xf numFmtId="165" fontId="4" fillId="2" borderId="5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165" fontId="6" fillId="2" borderId="5" xfId="0" applyNumberFormat="1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8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3</xdr:row>
      <xdr:rowOff>95250</xdr:rowOff>
    </xdr:from>
    <xdr:to>
      <xdr:col>5</xdr:col>
      <xdr:colOff>174675</xdr:colOff>
      <xdr:row>3</xdr:row>
      <xdr:rowOff>203250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E4D2F69-8CFF-48ED-AEBC-3B7DE60F9344}"/>
            </a:ext>
          </a:extLst>
        </xdr:cNvPr>
        <xdr:cNvSpPr/>
      </xdr:nvSpPr>
      <xdr:spPr>
        <a:xfrm>
          <a:off x="3248025" y="885825"/>
          <a:ext cx="108000" cy="1080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219075</xdr:colOff>
      <xdr:row>3</xdr:row>
      <xdr:rowOff>95250</xdr:rowOff>
    </xdr:from>
    <xdr:to>
      <xdr:col>6</xdr:col>
      <xdr:colOff>3225</xdr:colOff>
      <xdr:row>3</xdr:row>
      <xdr:rowOff>203250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E3B4110-A59D-4EDF-A4D3-F434E2291153}"/>
            </a:ext>
          </a:extLst>
        </xdr:cNvPr>
        <xdr:cNvSpPr/>
      </xdr:nvSpPr>
      <xdr:spPr>
        <a:xfrm>
          <a:off x="3400425" y="885825"/>
          <a:ext cx="108000" cy="108000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85725</xdr:colOff>
      <xdr:row>3</xdr:row>
      <xdr:rowOff>104775</xdr:rowOff>
    </xdr:from>
    <xdr:to>
      <xdr:col>9</xdr:col>
      <xdr:colOff>193725</xdr:colOff>
      <xdr:row>3</xdr:row>
      <xdr:rowOff>212775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4891C60-45B7-4D46-8B7D-61F31A20479A}"/>
            </a:ext>
          </a:extLst>
        </xdr:cNvPr>
        <xdr:cNvSpPr/>
      </xdr:nvSpPr>
      <xdr:spPr>
        <a:xfrm>
          <a:off x="6210300" y="895350"/>
          <a:ext cx="108000" cy="1080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6</xdr:row>
      <xdr:rowOff>95250</xdr:rowOff>
    </xdr:from>
    <xdr:to>
      <xdr:col>1</xdr:col>
      <xdr:colOff>222300</xdr:colOff>
      <xdr:row>6</xdr:row>
      <xdr:rowOff>203250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31974F3-8923-4D97-AA48-5014DCC47170}"/>
            </a:ext>
          </a:extLst>
        </xdr:cNvPr>
        <xdr:cNvSpPr/>
      </xdr:nvSpPr>
      <xdr:spPr>
        <a:xfrm>
          <a:off x="238125" y="1771650"/>
          <a:ext cx="108000" cy="108000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123825</xdr:colOff>
      <xdr:row>6</xdr:row>
      <xdr:rowOff>104775</xdr:rowOff>
    </xdr:from>
    <xdr:to>
      <xdr:col>5</xdr:col>
      <xdr:colOff>231825</xdr:colOff>
      <xdr:row>6</xdr:row>
      <xdr:rowOff>212775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63D1698-4D62-4C6A-807D-E5F425DC88F8}"/>
            </a:ext>
          </a:extLst>
        </xdr:cNvPr>
        <xdr:cNvSpPr/>
      </xdr:nvSpPr>
      <xdr:spPr>
        <a:xfrm>
          <a:off x="3305175" y="1781175"/>
          <a:ext cx="108000" cy="108000"/>
        </a:xfrm>
        <a:prstGeom prst="ellipse">
          <a:avLst/>
        </a:prstGeom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95250</xdr:colOff>
      <xdr:row>6</xdr:row>
      <xdr:rowOff>104775</xdr:rowOff>
    </xdr:from>
    <xdr:to>
      <xdr:col>9</xdr:col>
      <xdr:colOff>203250</xdr:colOff>
      <xdr:row>6</xdr:row>
      <xdr:rowOff>212775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5F693F3-9C53-4662-8A91-F0BEFA9417A0}"/>
            </a:ext>
          </a:extLst>
        </xdr:cNvPr>
        <xdr:cNvSpPr/>
      </xdr:nvSpPr>
      <xdr:spPr>
        <a:xfrm>
          <a:off x="6219825" y="1781175"/>
          <a:ext cx="108000" cy="1080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57150</xdr:colOff>
      <xdr:row>19</xdr:row>
      <xdr:rowOff>95250</xdr:rowOff>
    </xdr:from>
    <xdr:to>
      <xdr:col>5</xdr:col>
      <xdr:colOff>165150</xdr:colOff>
      <xdr:row>19</xdr:row>
      <xdr:rowOff>203250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AF9D331-DDC1-4443-B945-BF18EACCAA41}"/>
            </a:ext>
          </a:extLst>
        </xdr:cNvPr>
        <xdr:cNvSpPr/>
      </xdr:nvSpPr>
      <xdr:spPr>
        <a:xfrm>
          <a:off x="3238500" y="5314950"/>
          <a:ext cx="108000" cy="1080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190500</xdr:colOff>
      <xdr:row>19</xdr:row>
      <xdr:rowOff>95250</xdr:rowOff>
    </xdr:from>
    <xdr:to>
      <xdr:col>5</xdr:col>
      <xdr:colOff>298500</xdr:colOff>
      <xdr:row>19</xdr:row>
      <xdr:rowOff>203250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BD98B29-B9CC-4C0A-8AC8-7CD20B3327FB}"/>
            </a:ext>
          </a:extLst>
        </xdr:cNvPr>
        <xdr:cNvSpPr/>
      </xdr:nvSpPr>
      <xdr:spPr>
        <a:xfrm>
          <a:off x="3371850" y="5314950"/>
          <a:ext cx="108000" cy="108000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47625</xdr:colOff>
      <xdr:row>19</xdr:row>
      <xdr:rowOff>104775</xdr:rowOff>
    </xdr:from>
    <xdr:to>
      <xdr:col>1</xdr:col>
      <xdr:colOff>155625</xdr:colOff>
      <xdr:row>19</xdr:row>
      <xdr:rowOff>212775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02F7F09-D477-4EB4-B2AA-F4CCD0C3523B}"/>
            </a:ext>
          </a:extLst>
        </xdr:cNvPr>
        <xdr:cNvSpPr/>
      </xdr:nvSpPr>
      <xdr:spPr>
        <a:xfrm>
          <a:off x="171450" y="5324475"/>
          <a:ext cx="108000" cy="108000"/>
        </a:xfrm>
        <a:prstGeom prst="ellipse">
          <a:avLst/>
        </a:prstGeom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171450</xdr:colOff>
      <xdr:row>19</xdr:row>
      <xdr:rowOff>114300</xdr:rowOff>
    </xdr:from>
    <xdr:to>
      <xdr:col>1</xdr:col>
      <xdr:colOff>279450</xdr:colOff>
      <xdr:row>19</xdr:row>
      <xdr:rowOff>222300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DAE36C0-AD4C-4996-902E-3376EBB9782A}"/>
            </a:ext>
          </a:extLst>
        </xdr:cNvPr>
        <xdr:cNvSpPr/>
      </xdr:nvSpPr>
      <xdr:spPr>
        <a:xfrm>
          <a:off x="295275" y="5334000"/>
          <a:ext cx="108000" cy="108000"/>
        </a:xfrm>
        <a:prstGeom prst="ellipse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123825</xdr:colOff>
      <xdr:row>25</xdr:row>
      <xdr:rowOff>104775</xdr:rowOff>
    </xdr:from>
    <xdr:to>
      <xdr:col>5</xdr:col>
      <xdr:colOff>231825</xdr:colOff>
      <xdr:row>25</xdr:row>
      <xdr:rowOff>212775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D86B00B-F201-45D0-8419-44E250FE7677}"/>
            </a:ext>
          </a:extLst>
        </xdr:cNvPr>
        <xdr:cNvSpPr/>
      </xdr:nvSpPr>
      <xdr:spPr>
        <a:xfrm>
          <a:off x="3305175" y="7096125"/>
          <a:ext cx="108000" cy="1080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25</xdr:row>
      <xdr:rowOff>95250</xdr:rowOff>
    </xdr:from>
    <xdr:to>
      <xdr:col>1</xdr:col>
      <xdr:colOff>222300</xdr:colOff>
      <xdr:row>25</xdr:row>
      <xdr:rowOff>203250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4E93963-1344-4A2B-BC0D-0AFC8175F4D8}"/>
            </a:ext>
          </a:extLst>
        </xdr:cNvPr>
        <xdr:cNvSpPr/>
      </xdr:nvSpPr>
      <xdr:spPr>
        <a:xfrm>
          <a:off x="238125" y="7086600"/>
          <a:ext cx="108000" cy="108000"/>
        </a:xfrm>
        <a:prstGeom prst="ellipse">
          <a:avLst/>
        </a:prstGeom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7CBD-D44A-4008-A03F-27039BFEF243}">
  <sheetPr>
    <pageSetUpPr fitToPage="1"/>
  </sheetPr>
  <dimension ref="A1:Q31"/>
  <sheetViews>
    <sheetView tabSelected="1" topLeftCell="A21" zoomScale="90" zoomScaleNormal="90" workbookViewId="0">
      <selection activeCell="K33" sqref="K33"/>
    </sheetView>
  </sheetViews>
  <sheetFormatPr defaultColWidth="13.81640625" defaultRowHeight="22.5" customHeight="1" x14ac:dyDescent="0.35"/>
  <cols>
    <col min="1" max="1" width="1.81640625" style="3" customWidth="1"/>
    <col min="2" max="2" width="4.54296875" style="39" customWidth="1"/>
    <col min="3" max="3" width="25.81640625" style="3" bestFit="1" customWidth="1"/>
    <col min="4" max="4" width="13" style="3" bestFit="1" customWidth="1"/>
    <col min="5" max="5" width="2.453125" style="3" customWidth="1"/>
    <col min="6" max="6" width="4.81640625" style="3" customWidth="1"/>
    <col min="7" max="7" width="23.7265625" style="3" bestFit="1" customWidth="1"/>
    <col min="8" max="8" width="13.54296875" style="3" bestFit="1" customWidth="1"/>
    <col min="9" max="9" width="2" style="3" customWidth="1"/>
    <col min="10" max="10" width="4.1796875" style="3" customWidth="1"/>
    <col min="11" max="11" width="25.7265625" style="3" bestFit="1" customWidth="1"/>
    <col min="12" max="12" width="11.54296875" style="3" bestFit="1" customWidth="1"/>
    <col min="13" max="13" width="2.1796875" style="3" customWidth="1"/>
    <col min="14" max="14" width="4.1796875" style="39" customWidth="1"/>
    <col min="15" max="15" width="31.81640625" style="3" bestFit="1" customWidth="1"/>
    <col min="16" max="16" width="9.26953125" style="3" customWidth="1"/>
    <col min="17" max="17" width="2.26953125" style="3" customWidth="1"/>
    <col min="18" max="16384" width="13.81640625" style="3"/>
  </cols>
  <sheetData>
    <row r="1" spans="1:17" ht="11.5" customHeight="1" thickBot="1" x14ac:dyDescent="0.4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  <c r="Q1" s="1"/>
    </row>
    <row r="2" spans="1:17" ht="22.5" customHeight="1" thickBot="1" x14ac:dyDescent="0.4">
      <c r="A2" s="1"/>
      <c r="B2" s="60" t="s">
        <v>67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2"/>
      <c r="Q2" s="1"/>
    </row>
    <row r="3" spans="1:17" s="6" customFormat="1" ht="22.5" customHeight="1" x14ac:dyDescent="0.35">
      <c r="A3" s="4"/>
      <c r="B3" s="5" t="s">
        <v>0</v>
      </c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4"/>
      <c r="N3" s="64" t="s">
        <v>75</v>
      </c>
      <c r="O3" s="64"/>
      <c r="P3" s="64"/>
      <c r="Q3" s="4"/>
    </row>
    <row r="4" spans="1:17" ht="22.5" customHeight="1" x14ac:dyDescent="0.35">
      <c r="A4" s="1"/>
      <c r="B4" s="65" t="s">
        <v>2</v>
      </c>
      <c r="C4" s="65"/>
      <c r="D4" s="8">
        <v>250000</v>
      </c>
      <c r="E4" s="1"/>
      <c r="F4" s="65" t="s">
        <v>3</v>
      </c>
      <c r="G4" s="65"/>
      <c r="H4" s="8">
        <v>250000</v>
      </c>
      <c r="I4" s="1"/>
      <c r="J4" s="65" t="s">
        <v>4</v>
      </c>
      <c r="K4" s="65"/>
      <c r="L4" s="8">
        <v>100000</v>
      </c>
      <c r="M4" s="1"/>
      <c r="N4" s="9" t="s">
        <v>5</v>
      </c>
      <c r="O4" s="9" t="s">
        <v>6</v>
      </c>
      <c r="P4" s="9" t="s">
        <v>7</v>
      </c>
      <c r="Q4" s="1"/>
    </row>
    <row r="5" spans="1:17" ht="22.5" customHeight="1" x14ac:dyDescent="0.35">
      <c r="A5" s="1"/>
      <c r="B5" s="2"/>
      <c r="C5" s="1"/>
      <c r="D5" s="10"/>
      <c r="E5" s="1"/>
      <c r="F5" s="1"/>
      <c r="G5" s="1"/>
      <c r="H5" s="10"/>
      <c r="I5" s="1"/>
      <c r="J5" s="1"/>
      <c r="K5" s="1"/>
      <c r="L5" s="10"/>
      <c r="M5" s="1"/>
      <c r="N5" s="7">
        <v>1</v>
      </c>
      <c r="O5" s="11" t="s">
        <v>8</v>
      </c>
      <c r="P5" s="12">
        <v>185000</v>
      </c>
      <c r="Q5" s="1"/>
    </row>
    <row r="6" spans="1:17" s="6" customFormat="1" ht="22.5" customHeight="1" x14ac:dyDescent="0.35">
      <c r="A6" s="4"/>
      <c r="B6" s="5" t="s">
        <v>9</v>
      </c>
      <c r="C6" s="4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7">
        <v>2</v>
      </c>
      <c r="O6" s="11" t="s">
        <v>11</v>
      </c>
      <c r="P6" s="12">
        <v>300000</v>
      </c>
      <c r="Q6" s="4"/>
    </row>
    <row r="7" spans="1:17" s="6" customFormat="1" ht="22.5" customHeight="1" x14ac:dyDescent="0.35">
      <c r="A7" s="4"/>
      <c r="B7" s="13"/>
      <c r="C7" s="48" t="s">
        <v>12</v>
      </c>
      <c r="D7" s="48"/>
      <c r="E7" s="4"/>
      <c r="F7" s="14"/>
      <c r="G7" s="49" t="s">
        <v>13</v>
      </c>
      <c r="H7" s="49"/>
      <c r="I7" s="4"/>
      <c r="J7" s="15"/>
      <c r="K7" s="50" t="s">
        <v>14</v>
      </c>
      <c r="L7" s="50"/>
      <c r="M7" s="4"/>
      <c r="N7" s="7">
        <v>3</v>
      </c>
      <c r="O7" s="11" t="s">
        <v>15</v>
      </c>
      <c r="P7" s="12">
        <v>400000</v>
      </c>
      <c r="Q7" s="4"/>
    </row>
    <row r="8" spans="1:17" ht="22.5" customHeight="1" x14ac:dyDescent="0.35">
      <c r="A8" s="1"/>
      <c r="B8" s="16">
        <v>1</v>
      </c>
      <c r="C8" s="17" t="s">
        <v>16</v>
      </c>
      <c r="D8" s="18">
        <v>50000</v>
      </c>
      <c r="E8" s="1"/>
      <c r="F8" s="19">
        <v>1</v>
      </c>
      <c r="G8" s="20" t="s">
        <v>17</v>
      </c>
      <c r="H8" s="21">
        <v>85000</v>
      </c>
      <c r="I8" s="1"/>
      <c r="J8" s="22">
        <v>1</v>
      </c>
      <c r="K8" s="23" t="s">
        <v>17</v>
      </c>
      <c r="L8" s="24">
        <v>85000</v>
      </c>
      <c r="M8" s="1"/>
      <c r="N8" s="7">
        <v>4</v>
      </c>
      <c r="O8" s="11" t="s">
        <v>18</v>
      </c>
      <c r="P8" s="12">
        <v>240000</v>
      </c>
      <c r="Q8" s="1"/>
    </row>
    <row r="9" spans="1:17" ht="22.5" customHeight="1" x14ac:dyDescent="0.35">
      <c r="A9" s="1"/>
      <c r="B9" s="16">
        <v>2</v>
      </c>
      <c r="C9" s="17" t="s">
        <v>19</v>
      </c>
      <c r="D9" s="18">
        <v>50000</v>
      </c>
      <c r="E9" s="1"/>
      <c r="F9" s="19">
        <v>2</v>
      </c>
      <c r="G9" s="20" t="s">
        <v>20</v>
      </c>
      <c r="H9" s="21">
        <v>160000</v>
      </c>
      <c r="I9" s="1"/>
      <c r="J9" s="22">
        <v>2</v>
      </c>
      <c r="K9" s="23" t="s">
        <v>20</v>
      </c>
      <c r="L9" s="24">
        <v>160000</v>
      </c>
      <c r="M9" s="1"/>
      <c r="N9" s="7">
        <v>5</v>
      </c>
      <c r="O9" s="11" t="s">
        <v>21</v>
      </c>
      <c r="P9" s="12">
        <v>300000</v>
      </c>
      <c r="Q9" s="1"/>
    </row>
    <row r="10" spans="1:17" ht="22.5" customHeight="1" x14ac:dyDescent="0.35">
      <c r="A10" s="1"/>
      <c r="B10" s="16">
        <v>3</v>
      </c>
      <c r="C10" s="17" t="s">
        <v>22</v>
      </c>
      <c r="D10" s="18">
        <v>140000</v>
      </c>
      <c r="E10" s="1"/>
      <c r="F10" s="19">
        <v>3</v>
      </c>
      <c r="G10" s="20" t="s">
        <v>23</v>
      </c>
      <c r="H10" s="21">
        <v>140000</v>
      </c>
      <c r="I10" s="1"/>
      <c r="J10" s="22">
        <v>3</v>
      </c>
      <c r="K10" s="23" t="s">
        <v>23</v>
      </c>
      <c r="L10" s="24">
        <v>120000</v>
      </c>
      <c r="M10" s="1"/>
      <c r="N10" s="7">
        <v>6</v>
      </c>
      <c r="O10" s="11" t="s">
        <v>24</v>
      </c>
      <c r="P10" s="12">
        <v>25000</v>
      </c>
      <c r="Q10" s="1"/>
    </row>
    <row r="11" spans="1:17" ht="22.5" customHeight="1" x14ac:dyDescent="0.35">
      <c r="A11" s="1"/>
      <c r="B11" s="16">
        <v>4</v>
      </c>
      <c r="C11" s="17" t="s">
        <v>25</v>
      </c>
      <c r="D11" s="18">
        <v>360000</v>
      </c>
      <c r="E11" s="1"/>
      <c r="F11" s="19">
        <v>4</v>
      </c>
      <c r="G11" s="20" t="s">
        <v>26</v>
      </c>
      <c r="H11" s="21">
        <v>175000</v>
      </c>
      <c r="I11" s="1"/>
      <c r="J11" s="22">
        <v>4</v>
      </c>
      <c r="K11" s="23" t="s">
        <v>27</v>
      </c>
      <c r="L11" s="24">
        <v>110000</v>
      </c>
      <c r="M11" s="1"/>
      <c r="N11" s="7">
        <v>7</v>
      </c>
      <c r="O11" s="11" t="s">
        <v>28</v>
      </c>
      <c r="P11" s="12">
        <v>25000</v>
      </c>
      <c r="Q11" s="1"/>
    </row>
    <row r="12" spans="1:17" ht="22.5" customHeight="1" x14ac:dyDescent="0.35">
      <c r="A12" s="1"/>
      <c r="B12" s="16">
        <v>5</v>
      </c>
      <c r="C12" s="17" t="s">
        <v>29</v>
      </c>
      <c r="D12" s="18">
        <v>300000</v>
      </c>
      <c r="E12" s="1"/>
      <c r="F12" s="19">
        <v>5</v>
      </c>
      <c r="G12" s="20" t="s">
        <v>30</v>
      </c>
      <c r="H12" s="21">
        <v>120000</v>
      </c>
      <c r="I12" s="1"/>
      <c r="J12" s="22">
        <v>5</v>
      </c>
      <c r="K12" s="23" t="s">
        <v>31</v>
      </c>
      <c r="L12" s="24">
        <v>125000</v>
      </c>
      <c r="M12" s="1"/>
      <c r="N12" s="7">
        <v>8</v>
      </c>
      <c r="O12" s="11" t="s">
        <v>32</v>
      </c>
      <c r="P12" s="12">
        <v>80000</v>
      </c>
      <c r="Q12" s="1"/>
    </row>
    <row r="13" spans="1:17" ht="22.5" customHeight="1" x14ac:dyDescent="0.35">
      <c r="A13" s="1"/>
      <c r="B13" s="16">
        <v>6</v>
      </c>
      <c r="C13" s="17" t="s">
        <v>33</v>
      </c>
      <c r="D13" s="18">
        <v>50000</v>
      </c>
      <c r="E13" s="1"/>
      <c r="F13" s="19">
        <v>6</v>
      </c>
      <c r="G13" s="68" t="s">
        <v>71</v>
      </c>
      <c r="H13" s="21">
        <v>185000</v>
      </c>
      <c r="I13" s="1"/>
      <c r="J13" s="22">
        <v>6</v>
      </c>
      <c r="K13" s="23" t="s">
        <v>35</v>
      </c>
      <c r="L13" s="24">
        <v>150000</v>
      </c>
      <c r="M13" s="1"/>
      <c r="N13" s="7">
        <v>9</v>
      </c>
      <c r="O13" s="11" t="s">
        <v>36</v>
      </c>
      <c r="P13" s="12">
        <v>90000</v>
      </c>
      <c r="Q13" s="1"/>
    </row>
    <row r="14" spans="1:17" ht="22.5" customHeight="1" x14ac:dyDescent="0.35">
      <c r="A14" s="1"/>
      <c r="B14" s="16">
        <v>7</v>
      </c>
      <c r="C14" s="17" t="s">
        <v>37</v>
      </c>
      <c r="D14" s="18">
        <v>170000</v>
      </c>
      <c r="E14" s="1"/>
      <c r="F14" s="19">
        <v>7</v>
      </c>
      <c r="G14" s="20" t="s">
        <v>38</v>
      </c>
      <c r="H14" s="21">
        <v>100000</v>
      </c>
      <c r="I14" s="1"/>
      <c r="J14" s="22">
        <v>7</v>
      </c>
      <c r="K14" s="23" t="s">
        <v>38</v>
      </c>
      <c r="L14" s="24">
        <v>100000</v>
      </c>
      <c r="M14" s="1"/>
      <c r="N14" s="7">
        <v>10</v>
      </c>
      <c r="O14" s="11" t="s">
        <v>39</v>
      </c>
      <c r="P14" s="12">
        <v>90000</v>
      </c>
      <c r="Q14" s="1"/>
    </row>
    <row r="15" spans="1:17" ht="22.5" customHeight="1" x14ac:dyDescent="0.35">
      <c r="A15" s="1"/>
      <c r="B15" s="16">
        <v>8</v>
      </c>
      <c r="C15" s="66" t="s">
        <v>40</v>
      </c>
      <c r="D15" s="18">
        <v>195000</v>
      </c>
      <c r="E15" s="1"/>
      <c r="F15" s="19">
        <v>8</v>
      </c>
      <c r="G15" s="20" t="s">
        <v>34</v>
      </c>
      <c r="H15" s="21">
        <v>120000</v>
      </c>
      <c r="I15" s="1"/>
      <c r="J15" s="22">
        <v>8</v>
      </c>
      <c r="K15" s="67" t="s">
        <v>34</v>
      </c>
      <c r="L15" s="24">
        <v>120000</v>
      </c>
      <c r="M15" s="1"/>
      <c r="N15" s="7">
        <v>11</v>
      </c>
      <c r="O15" s="11" t="s">
        <v>41</v>
      </c>
      <c r="P15" s="12">
        <v>90000</v>
      </c>
      <c r="Q15" s="1"/>
    </row>
    <row r="16" spans="1:17" ht="22.5" customHeight="1" x14ac:dyDescent="0.35">
      <c r="A16" s="1"/>
      <c r="B16" s="16">
        <v>9</v>
      </c>
      <c r="C16" s="66" t="s">
        <v>70</v>
      </c>
      <c r="D16" s="18">
        <v>20000</v>
      </c>
      <c r="E16" s="1"/>
      <c r="F16" s="20"/>
      <c r="G16" s="20"/>
      <c r="H16" s="21"/>
      <c r="I16" s="1"/>
      <c r="J16" s="22"/>
      <c r="K16" s="23"/>
      <c r="L16" s="24"/>
      <c r="M16" s="1"/>
      <c r="N16" s="7">
        <v>12</v>
      </c>
      <c r="O16" s="11" t="s">
        <v>43</v>
      </c>
      <c r="P16" s="12">
        <v>90000</v>
      </c>
      <c r="Q16" s="1"/>
    </row>
    <row r="17" spans="1:17" ht="22.5" customHeight="1" x14ac:dyDescent="0.35">
      <c r="A17" s="1"/>
      <c r="B17" s="51" t="s">
        <v>42</v>
      </c>
      <c r="C17" s="52"/>
      <c r="D17" s="25">
        <f>SUM(D8:D16)</f>
        <v>1335000</v>
      </c>
      <c r="E17" s="1"/>
      <c r="F17" s="53" t="s">
        <v>42</v>
      </c>
      <c r="G17" s="54"/>
      <c r="H17" s="26">
        <f>SUM(H8:H16)</f>
        <v>1085000</v>
      </c>
      <c r="I17" s="1"/>
      <c r="J17" s="55" t="s">
        <v>42</v>
      </c>
      <c r="K17" s="56"/>
      <c r="L17" s="27">
        <f>SUM(L8:L16)</f>
        <v>970000</v>
      </c>
      <c r="M17" s="1"/>
      <c r="N17" s="7">
        <v>13</v>
      </c>
      <c r="O17" s="11" t="s">
        <v>44</v>
      </c>
      <c r="P17" s="12">
        <v>90000</v>
      </c>
      <c r="Q17" s="1"/>
    </row>
    <row r="18" spans="1:17" ht="22.5" customHeight="1" x14ac:dyDescent="0.3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7">
        <v>14</v>
      </c>
      <c r="O18" s="11" t="s">
        <v>46</v>
      </c>
      <c r="P18" s="12">
        <v>90000</v>
      </c>
      <c r="Q18" s="1"/>
    </row>
    <row r="19" spans="1:17" ht="22.5" customHeight="1" x14ac:dyDescent="0.35">
      <c r="A19" s="1"/>
      <c r="B19" s="57" t="s">
        <v>45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"/>
      <c r="N19" s="7">
        <v>15</v>
      </c>
      <c r="O19" s="11" t="s">
        <v>48</v>
      </c>
      <c r="P19" s="12">
        <v>90000</v>
      </c>
      <c r="Q19" s="1"/>
    </row>
    <row r="20" spans="1:17" ht="22.5" customHeight="1" x14ac:dyDescent="0.35">
      <c r="A20" s="1"/>
      <c r="B20" s="9"/>
      <c r="C20" s="40" t="s">
        <v>47</v>
      </c>
      <c r="D20" s="40"/>
      <c r="E20" s="1"/>
      <c r="F20" s="9"/>
      <c r="G20" s="40" t="s">
        <v>3</v>
      </c>
      <c r="H20" s="40"/>
      <c r="I20" s="1"/>
      <c r="J20" s="40" t="s">
        <v>68</v>
      </c>
      <c r="K20" s="40"/>
      <c r="L20" s="40"/>
      <c r="M20" s="1"/>
      <c r="N20" s="7">
        <v>16</v>
      </c>
      <c r="O20" s="11" t="s">
        <v>49</v>
      </c>
      <c r="P20" s="12">
        <v>95000</v>
      </c>
      <c r="Q20" s="1"/>
    </row>
    <row r="21" spans="1:17" ht="22.5" customHeight="1" x14ac:dyDescent="0.35">
      <c r="A21" s="1"/>
      <c r="B21" s="7">
        <v>1</v>
      </c>
      <c r="C21" s="11" t="s">
        <v>1</v>
      </c>
      <c r="D21" s="28">
        <f>D4</f>
        <v>250000</v>
      </c>
      <c r="E21" s="1"/>
      <c r="F21" s="7">
        <v>1</v>
      </c>
      <c r="G21" s="11" t="s">
        <v>1</v>
      </c>
      <c r="H21" s="28">
        <f>H4</f>
        <v>250000</v>
      </c>
      <c r="I21" s="1"/>
      <c r="J21" s="58" t="s">
        <v>69</v>
      </c>
      <c r="K21" s="59"/>
      <c r="L21" s="59"/>
      <c r="M21" s="1"/>
      <c r="N21" s="7">
        <v>17</v>
      </c>
      <c r="O21" s="11" t="s">
        <v>51</v>
      </c>
      <c r="P21" s="12">
        <v>95000</v>
      </c>
      <c r="Q21" s="1"/>
    </row>
    <row r="22" spans="1:17" ht="22.5" customHeight="1" x14ac:dyDescent="0.35">
      <c r="A22" s="1"/>
      <c r="B22" s="7">
        <v>2</v>
      </c>
      <c r="C22" s="11" t="s">
        <v>50</v>
      </c>
      <c r="D22" s="28">
        <f>D17</f>
        <v>1335000</v>
      </c>
      <c r="E22" s="1"/>
      <c r="F22" s="7">
        <v>2</v>
      </c>
      <c r="G22" s="11" t="s">
        <v>50</v>
      </c>
      <c r="H22" s="28">
        <f>D17</f>
        <v>1335000</v>
      </c>
      <c r="I22" s="1"/>
      <c r="J22" s="59"/>
      <c r="K22" s="59"/>
      <c r="L22" s="59"/>
      <c r="M22" s="1"/>
      <c r="N22" s="7">
        <v>18</v>
      </c>
      <c r="O22" s="11" t="s">
        <v>54</v>
      </c>
      <c r="P22" s="12">
        <v>95000</v>
      </c>
      <c r="Q22" s="1"/>
    </row>
    <row r="23" spans="1:17" ht="22.5" customHeight="1" x14ac:dyDescent="0.35">
      <c r="A23" s="1"/>
      <c r="B23" s="7">
        <v>3</v>
      </c>
      <c r="C23" s="11" t="s">
        <v>52</v>
      </c>
      <c r="D23" s="28">
        <f>H17</f>
        <v>1085000</v>
      </c>
      <c r="E23" s="1"/>
      <c r="F23" s="7">
        <v>3</v>
      </c>
      <c r="G23" s="11" t="s">
        <v>53</v>
      </c>
      <c r="H23" s="28">
        <f>L17</f>
        <v>970000</v>
      </c>
      <c r="I23" s="1"/>
      <c r="J23" s="29"/>
      <c r="K23" s="29"/>
      <c r="L23" s="29"/>
      <c r="M23" s="1"/>
      <c r="N23" s="7">
        <v>19</v>
      </c>
      <c r="O23" s="11" t="s">
        <v>57</v>
      </c>
      <c r="P23" s="12">
        <v>95000</v>
      </c>
      <c r="Q23" s="1"/>
    </row>
    <row r="24" spans="1:17" ht="22.5" customHeight="1" x14ac:dyDescent="0.35">
      <c r="A24" s="1"/>
      <c r="B24" s="41" t="s">
        <v>55</v>
      </c>
      <c r="C24" s="42"/>
      <c r="D24" s="30">
        <f>SUM(D21:D23)</f>
        <v>2670000</v>
      </c>
      <c r="E24" s="1"/>
      <c r="F24" s="41" t="s">
        <v>55</v>
      </c>
      <c r="G24" s="42"/>
      <c r="H24" s="30">
        <f>SUM(H21:H23)</f>
        <v>2555000</v>
      </c>
      <c r="I24" s="1"/>
      <c r="J24" s="31" t="s">
        <v>56</v>
      </c>
      <c r="K24" s="32"/>
      <c r="L24" s="33"/>
      <c r="M24" s="1"/>
      <c r="N24" s="7">
        <v>20</v>
      </c>
      <c r="O24" s="11" t="s">
        <v>59</v>
      </c>
      <c r="P24" s="12">
        <v>100000</v>
      </c>
      <c r="Q24" s="1"/>
    </row>
    <row r="25" spans="1:17" ht="22.5" customHeight="1" x14ac:dyDescent="0.35">
      <c r="A25" s="1"/>
      <c r="B25" s="2"/>
      <c r="C25" s="1"/>
      <c r="D25" s="1"/>
      <c r="E25" s="1"/>
      <c r="F25" s="1"/>
      <c r="G25" s="1"/>
      <c r="H25" s="1"/>
      <c r="I25" s="1"/>
      <c r="J25" s="34" t="s">
        <v>58</v>
      </c>
      <c r="K25" s="1"/>
      <c r="L25" s="35"/>
      <c r="M25" s="1"/>
      <c r="N25" s="7">
        <v>21</v>
      </c>
      <c r="O25" s="11" t="s">
        <v>62</v>
      </c>
      <c r="P25" s="12">
        <v>100000</v>
      </c>
      <c r="Q25" s="1"/>
    </row>
    <row r="26" spans="1:17" ht="22.5" customHeight="1" x14ac:dyDescent="0.35">
      <c r="A26" s="1"/>
      <c r="B26" s="9"/>
      <c r="C26" s="40" t="s">
        <v>60</v>
      </c>
      <c r="D26" s="40"/>
      <c r="E26" s="1"/>
      <c r="F26" s="9"/>
      <c r="G26" s="41" t="s">
        <v>4</v>
      </c>
      <c r="H26" s="42"/>
      <c r="I26" s="1"/>
      <c r="J26" s="36" t="s">
        <v>61</v>
      </c>
      <c r="K26" s="37"/>
      <c r="L26" s="38"/>
      <c r="M26" s="1"/>
      <c r="N26" s="7">
        <v>22</v>
      </c>
      <c r="O26" s="11" t="s">
        <v>63</v>
      </c>
      <c r="P26" s="12">
        <v>100000</v>
      </c>
      <c r="Q26" s="1"/>
    </row>
    <row r="27" spans="1:17" ht="22.5" customHeight="1" x14ac:dyDescent="0.35">
      <c r="A27" s="1"/>
      <c r="B27" s="7">
        <v>1</v>
      </c>
      <c r="C27" s="11" t="s">
        <v>1</v>
      </c>
      <c r="D27" s="28">
        <f>D4</f>
        <v>250000</v>
      </c>
      <c r="E27" s="1"/>
      <c r="F27" s="7">
        <v>1</v>
      </c>
      <c r="G27" s="11" t="s">
        <v>1</v>
      </c>
      <c r="H27" s="28">
        <f>L4</f>
        <v>100000</v>
      </c>
      <c r="I27" s="1"/>
      <c r="J27" s="1"/>
      <c r="K27" s="1"/>
      <c r="L27" s="1"/>
      <c r="M27" s="1"/>
      <c r="N27" s="7">
        <v>23</v>
      </c>
      <c r="O27" s="11" t="s">
        <v>66</v>
      </c>
      <c r="P27" s="12">
        <v>100000</v>
      </c>
      <c r="Q27" s="1"/>
    </row>
    <row r="28" spans="1:17" ht="22.5" customHeight="1" x14ac:dyDescent="0.35">
      <c r="A28" s="1"/>
      <c r="B28" s="7">
        <v>2</v>
      </c>
      <c r="C28" s="11" t="s">
        <v>64</v>
      </c>
      <c r="D28" s="28">
        <f>D17 - (D11+D16)</f>
        <v>955000</v>
      </c>
      <c r="E28" s="1"/>
      <c r="F28" s="7">
        <v>2</v>
      </c>
      <c r="G28" s="11" t="s">
        <v>53</v>
      </c>
      <c r="H28" s="28">
        <f>L17</f>
        <v>970000</v>
      </c>
      <c r="I28" s="1"/>
      <c r="J28" s="43" t="s">
        <v>65</v>
      </c>
      <c r="K28" s="44"/>
      <c r="L28" s="45"/>
      <c r="M28" s="1"/>
      <c r="N28" s="72" t="s">
        <v>74</v>
      </c>
      <c r="O28" s="73"/>
      <c r="P28" s="74"/>
      <c r="Q28" s="1"/>
    </row>
    <row r="29" spans="1:17" ht="22.5" customHeight="1" x14ac:dyDescent="0.35">
      <c r="A29" s="1"/>
      <c r="B29" s="7">
        <v>3</v>
      </c>
      <c r="C29" s="11" t="s">
        <v>52</v>
      </c>
      <c r="D29" s="28">
        <f>H17</f>
        <v>1085000</v>
      </c>
      <c r="E29" s="1"/>
      <c r="F29" s="11"/>
      <c r="G29" s="11"/>
      <c r="H29" s="11"/>
      <c r="I29" s="1"/>
      <c r="J29" s="70" t="s">
        <v>73</v>
      </c>
      <c r="K29" s="64"/>
      <c r="L29" s="71"/>
      <c r="M29" s="1"/>
      <c r="N29" s="75"/>
      <c r="O29" s="76"/>
      <c r="P29" s="77"/>
      <c r="Q29" s="1"/>
    </row>
    <row r="30" spans="1:17" ht="22.5" customHeight="1" x14ac:dyDescent="0.35">
      <c r="A30" s="1"/>
      <c r="B30" s="40" t="s">
        <v>55</v>
      </c>
      <c r="C30" s="40"/>
      <c r="D30" s="30">
        <f>SUM(D27:D29)</f>
        <v>2290000</v>
      </c>
      <c r="E30" s="1"/>
      <c r="F30" s="41" t="s">
        <v>55</v>
      </c>
      <c r="G30" s="42"/>
      <c r="H30" s="30">
        <f>SUM(H27:H28)</f>
        <v>1070000</v>
      </c>
      <c r="I30" s="1"/>
      <c r="J30" s="69" t="s">
        <v>72</v>
      </c>
      <c r="K30" s="46"/>
      <c r="L30" s="47"/>
      <c r="M30" s="1"/>
      <c r="N30" s="78"/>
      <c r="O30" s="79"/>
      <c r="P30" s="80"/>
      <c r="Q30" s="1"/>
    </row>
    <row r="31" spans="1:17" ht="11.5" customHeight="1" x14ac:dyDescent="0.3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1"/>
      <c r="P31" s="1"/>
      <c r="Q31" s="1"/>
    </row>
  </sheetData>
  <mergeCells count="27">
    <mergeCell ref="N28:P30"/>
    <mergeCell ref="B2:P2"/>
    <mergeCell ref="C3:L3"/>
    <mergeCell ref="N3:P3"/>
    <mergeCell ref="B4:C4"/>
    <mergeCell ref="F4:G4"/>
    <mergeCell ref="J4:K4"/>
    <mergeCell ref="B24:C24"/>
    <mergeCell ref="F24:G24"/>
    <mergeCell ref="C7:D7"/>
    <mergeCell ref="G7:H7"/>
    <mergeCell ref="K7:L7"/>
    <mergeCell ref="B17:C17"/>
    <mergeCell ref="F17:G17"/>
    <mergeCell ref="J17:K17"/>
    <mergeCell ref="B19:L19"/>
    <mergeCell ref="C20:D20"/>
    <mergeCell ref="G20:H20"/>
    <mergeCell ref="J20:L20"/>
    <mergeCell ref="J21:L22"/>
    <mergeCell ref="C26:D26"/>
    <mergeCell ref="G26:H26"/>
    <mergeCell ref="J28:L28"/>
    <mergeCell ref="J29:L29"/>
    <mergeCell ref="B30:C30"/>
    <mergeCell ref="F30:G30"/>
    <mergeCell ref="J30:L30"/>
  </mergeCells>
  <printOptions horizontalCentered="1" verticalCentered="1"/>
  <pageMargins left="0.5" right="0.5" top="0.5" bottom="0.5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mahadalmamun33@gmail.com</dc:creator>
  <cp:lastModifiedBy>SMKS_ALMAMUN</cp:lastModifiedBy>
  <cp:lastPrinted>2025-04-17T04:44:54Z</cp:lastPrinted>
  <dcterms:created xsi:type="dcterms:W3CDTF">2025-04-13T14:30:11Z</dcterms:created>
  <dcterms:modified xsi:type="dcterms:W3CDTF">2026-04-20T11:21:56Z</dcterms:modified>
</cp:coreProperties>
</file>